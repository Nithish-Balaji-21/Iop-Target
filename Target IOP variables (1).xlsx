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runadhananjayan/Downloads/"/>
    </mc:Choice>
  </mc:AlternateContent>
  <xr:revisionPtr revIDLastSave="0" documentId="13_ncr:1_{5E3F8D6C-342A-4D4D-8356-89112B002440}" xr6:coauthVersionLast="47" xr6:coauthVersionMax="47" xr10:uidLastSave="{00000000-0000-0000-0000-000000000000}"/>
  <bookViews>
    <workbookView xWindow="0" yWindow="0" windowWidth="28800" windowHeight="18000" activeTab="1" xr2:uid="{A295A037-02A6-174C-9E8D-7F0FDBEFCC36}"/>
  </bookViews>
  <sheets>
    <sheet name="Sheet1" sheetId="1" state="hidden" r:id="rId1"/>
    <sheet name="Sheet3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</calcChain>
</file>

<file path=xl/sharedStrings.xml><?xml version="1.0" encoding="utf-8"?>
<sst xmlns="http://schemas.openxmlformats.org/spreadsheetml/2006/main" count="195" uniqueCount="116">
  <si>
    <t>Target IOP Variables</t>
  </si>
  <si>
    <t>Score</t>
  </si>
  <si>
    <t>&gt;70</t>
  </si>
  <si>
    <t>50-70</t>
  </si>
  <si>
    <t>&lt;50</t>
  </si>
  <si>
    <t>Absent</t>
  </si>
  <si>
    <t>Present</t>
  </si>
  <si>
    <t>&lt;10 yrs</t>
  </si>
  <si>
    <t>≥10 yrs</t>
  </si>
  <si>
    <t>Age</t>
  </si>
  <si>
    <t>Family history (1st degree)</t>
  </si>
  <si>
    <t>Life expectancy</t>
  </si>
  <si>
    <t>Min domain score</t>
  </si>
  <si>
    <t>Max domain score</t>
  </si>
  <si>
    <t>Vertical CDR</t>
  </si>
  <si>
    <t>≥0.9</t>
  </si>
  <si>
    <t>≤0.5</t>
  </si>
  <si>
    <t>ISNT rule preserved</t>
  </si>
  <si>
    <t>Rim status (Diffuse NRR thinning)</t>
  </si>
  <si>
    <t>Localized thinning, ISNT violated</t>
  </si>
  <si>
    <t>Diffuse thinning, rim present 360°</t>
  </si>
  <si>
    <t>Bare rim / near-total thinning</t>
  </si>
  <si>
    <t>(Focal Notching)</t>
  </si>
  <si>
    <t>Present (1 quadrant)</t>
  </si>
  <si>
    <t>(&gt;1 quadrant)</t>
  </si>
  <si>
    <t>Disc Hemorrhage</t>
  </si>
  <si>
    <t xml:space="preserve">Present </t>
  </si>
  <si>
    <t xml:space="preserve"> A. DEMOGRAPHIC RISK</t>
  </si>
  <si>
    <t>B. STRUCTURAL CHANGES</t>
  </si>
  <si>
    <t>C. FUNCTIONAL/VISUAL FIELD CHANGES</t>
  </si>
  <si>
    <t>Mean deviation</t>
  </si>
  <si>
    <t>Progression rate</t>
  </si>
  <si>
    <t>&gt; −6 dB</t>
  </si>
  <si>
    <t>−6 to −12</t>
  </si>
  <si>
    <t>&lt; −12 dB</t>
  </si>
  <si>
    <t>No</t>
  </si>
  <si>
    <t>Yes</t>
  </si>
  <si>
    <t>Slow (&lt;0.5 dB/yr)</t>
  </si>
  <si>
    <t>Fast (&gt;1 dB/yr)</t>
  </si>
  <si>
    <t>Stable</t>
  </si>
  <si>
    <t>Thin CCT (&lt;520 µm)</t>
  </si>
  <si>
    <t>D. OCULAR RISK MODIFIERS</t>
  </si>
  <si>
    <t>Thick CCT(&gt;540 µm)</t>
  </si>
  <si>
    <t>Pseudoexfoliation</t>
  </si>
  <si>
    <t>Pigment dispersion</t>
  </si>
  <si>
    <t>Steroid responder</t>
  </si>
  <si>
    <t>High IOP fluctuation</t>
  </si>
  <si>
    <t>CCT</t>
  </si>
  <si>
    <t>E. SYSTEMIC RISK FACTORS</t>
  </si>
  <si>
    <t>Low ocular perfusion pressure</t>
  </si>
  <si>
    <t>Migraine / vasospasm</t>
  </si>
  <si>
    <t>Raynaud’s</t>
  </si>
  <si>
    <t>Sleep apnea</t>
  </si>
  <si>
    <t>Diabetes mellitus</t>
  </si>
  <si>
    <t>F. DISEASE/PATIENT FACTORS</t>
  </si>
  <si>
    <t>One-eyed patient /Advanced disease in fellow eye</t>
  </si>
  <si>
    <t>Poor follow-up</t>
  </si>
  <si>
    <t>HFA not possible due to advanced disease</t>
  </si>
  <si>
    <t>HFA unreliable/ not done in first visit</t>
  </si>
  <si>
    <t>2 (Neutral)</t>
  </si>
  <si>
    <t>Low</t>
  </si>
  <si>
    <t>Moderate</t>
  </si>
  <si>
    <t>High</t>
  </si>
  <si>
    <t>TRBS</t>
  </si>
  <si>
    <t>Risk Tier</t>
  </si>
  <si>
    <t>Target IOP Reduction (%)</t>
  </si>
  <si>
    <t>≤12</t>
  </si>
  <si>
    <t>20–25%</t>
  </si>
  <si>
    <t>13–22</t>
  </si>
  <si>
    <t>30–35%</t>
  </si>
  <si>
    <t>23–32</t>
  </si>
  <si>
    <t>40–45%</t>
  </si>
  <si>
    <t>≥33</t>
  </si>
  <si>
    <t>Very High</t>
  </si>
  <si>
    <t>≥50% (aim ≤12 mmHg)</t>
  </si>
  <si>
    <t>Central field involvement (5 degrees)</t>
  </si>
  <si>
    <t>EMGT/ OHTS</t>
  </si>
  <si>
    <t>CNGTS</t>
  </si>
  <si>
    <t>≤18</t>
  </si>
  <si>
    <t>≤ 14</t>
  </si>
  <si>
    <t xml:space="preserve">≤ 12 </t>
  </si>
  <si>
    <t xml:space="preserve"> ≤16</t>
  </si>
  <si>
    <t>AGIS</t>
  </si>
  <si>
    <t>Total risk burden score= Sum of all domain scores. Range: 1-43</t>
  </si>
  <si>
    <t>Upper cap</t>
  </si>
  <si>
    <t>Bipolar notching</t>
  </si>
  <si>
    <t>(Present)Unipolar notching</t>
  </si>
  <si>
    <t>None</t>
  </si>
  <si>
    <t>0 to 6</t>
  </si>
  <si>
    <t>7 to 12</t>
  </si>
  <si>
    <t>13 to 18</t>
  </si>
  <si>
    <t>Poor compliance/ follow-up</t>
  </si>
  <si>
    <t>0 to -6dB</t>
  </si>
  <si>
    <t xml:space="preserve">&gt;19 </t>
  </si>
  <si>
    <t>Angle recession &gt; 180 deg</t>
  </si>
  <si>
    <t>Total risk burden score= Sum of all domain scores. Range: 0-29</t>
  </si>
  <si>
    <t>B. BASELINE IOP</t>
  </si>
  <si>
    <t>&lt;21mmHg</t>
  </si>
  <si>
    <t>21-25mmHg</t>
  </si>
  <si>
    <t>26-29mmHg</t>
  </si>
  <si>
    <t>30-34mmHg</t>
  </si>
  <si>
    <t>&gt;35mmHg</t>
  </si>
  <si>
    <t>1 AGM</t>
  </si>
  <si>
    <t>≥3 AGM</t>
  </si>
  <si>
    <t>2 AGM</t>
  </si>
  <si>
    <t>Add 5mmHg</t>
  </si>
  <si>
    <t>Add 8mmHg</t>
  </si>
  <si>
    <t>Add 10mmHg</t>
  </si>
  <si>
    <t xml:space="preserve">Assuming </t>
  </si>
  <si>
    <t xml:space="preserve">Untreated IOP </t>
  </si>
  <si>
    <t>If already on treatment with AGM - add to current IOP to get untreated baseline IOP</t>
  </si>
  <si>
    <t>CCT ≥520 µm</t>
  </si>
  <si>
    <t>Low ocular perfusion pressure (on antihypertensives, cardiac, CAD, anemia)</t>
  </si>
  <si>
    <t>E. SYSTEMIC RISK MODIFIERS</t>
  </si>
  <si>
    <t>C. STRUCTURAL CHANGES</t>
  </si>
  <si>
    <t>D. FUNCTIONAL/VISUAL FIELD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</si>
</sst>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 applyAlignment="1">
      <alignment wrapText="1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2" fillId="2" borderId="0" xfId="0" applyFont="1" applyFill="1"/>
    <xf numFmtId="0" fontId="2" fillId="3" borderId="0" xfId="0" applyFont="1" applyFill="1"/>
    <xf numFmtId="0" fontId="1" fillId="5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F015-6D08-004E-B8F7-F1ECB2AF9B9C}">
  <dimension ref="A1:H90"/>
  <sheetViews>
    <sheetView workbookViewId="0">
      <selection activeCell="D19" sqref="D19"/>
    </sheetView>
  </sheetViews>
  <sheetFormatPr baseColWidth="10" defaultColWidth="10.6640625" defaultRowHeight="16" x14ac:dyDescent="0.2"/>
  <cols>
    <col min="1" max="1" width="32.33203125" customWidth="1"/>
  </cols>
  <sheetData>
    <row r="1" spans="1:2" s="1" customFormat="1" ht="15" customHeight="1" x14ac:dyDescent="0.2">
      <c r="A1" s="1" t="s">
        <v>0</v>
      </c>
    </row>
    <row r="3" spans="1:2" s="6" customFormat="1" x14ac:dyDescent="0.2">
      <c r="A3" s="5" t="s">
        <v>27</v>
      </c>
      <c r="B3" s="5" t="s">
        <v>1</v>
      </c>
    </row>
    <row r="4" spans="1:2" s="9" customFormat="1" ht="17" x14ac:dyDescent="0.2">
      <c r="A4" s="7" t="s">
        <v>9</v>
      </c>
    </row>
    <row r="5" spans="1:2" x14ac:dyDescent="0.2">
      <c r="A5" t="s">
        <v>2</v>
      </c>
      <c r="B5">
        <v>0</v>
      </c>
    </row>
    <row r="6" spans="1:2" x14ac:dyDescent="0.2">
      <c r="A6" t="s">
        <v>3</v>
      </c>
      <c r="B6">
        <v>1</v>
      </c>
    </row>
    <row r="7" spans="1:2" x14ac:dyDescent="0.2">
      <c r="A7" t="s">
        <v>4</v>
      </c>
      <c r="B7">
        <v>2</v>
      </c>
    </row>
    <row r="8" spans="1:2" s="9" customFormat="1" x14ac:dyDescent="0.2">
      <c r="A8" s="8" t="s">
        <v>10</v>
      </c>
    </row>
    <row r="9" spans="1:2" x14ac:dyDescent="0.2">
      <c r="A9" t="s">
        <v>5</v>
      </c>
      <c r="B9">
        <v>0</v>
      </c>
    </row>
    <row r="10" spans="1:2" x14ac:dyDescent="0.2">
      <c r="A10" t="s">
        <v>6</v>
      </c>
      <c r="B10">
        <v>1</v>
      </c>
    </row>
    <row r="11" spans="1:2" s="9" customFormat="1" x14ac:dyDescent="0.2">
      <c r="A11" s="8" t="s">
        <v>11</v>
      </c>
    </row>
    <row r="12" spans="1:2" x14ac:dyDescent="0.2">
      <c r="A12" t="s">
        <v>7</v>
      </c>
      <c r="B12">
        <v>0</v>
      </c>
    </row>
    <row r="13" spans="1:2" x14ac:dyDescent="0.2">
      <c r="A13" t="s">
        <v>8</v>
      </c>
      <c r="B13">
        <v>1</v>
      </c>
    </row>
    <row r="14" spans="1:2" s="10" customFormat="1" x14ac:dyDescent="0.2">
      <c r="A14" s="10" t="s">
        <v>12</v>
      </c>
      <c r="B14" s="10">
        <v>0</v>
      </c>
    </row>
    <row r="15" spans="1:2" s="10" customFormat="1" x14ac:dyDescent="0.2">
      <c r="A15" s="10" t="s">
        <v>13</v>
      </c>
      <c r="B15" s="10">
        <v>4</v>
      </c>
    </row>
    <row r="17" spans="1:2" s="6" customFormat="1" x14ac:dyDescent="0.2">
      <c r="A17" s="5" t="s">
        <v>28</v>
      </c>
    </row>
    <row r="18" spans="1:2" s="9" customFormat="1" x14ac:dyDescent="0.2">
      <c r="A18" s="8" t="s">
        <v>14</v>
      </c>
    </row>
    <row r="19" spans="1:2" ht="17" x14ac:dyDescent="0.2">
      <c r="A19" s="2" t="s">
        <v>16</v>
      </c>
      <c r="B19">
        <v>0</v>
      </c>
    </row>
    <row r="20" spans="1:2" s="3" customFormat="1" x14ac:dyDescent="0.2">
      <c r="A20" s="3">
        <v>0.6</v>
      </c>
      <c r="B20" s="4">
        <v>1</v>
      </c>
    </row>
    <row r="21" spans="1:2" s="3" customFormat="1" x14ac:dyDescent="0.2">
      <c r="A21" s="3">
        <v>0.7</v>
      </c>
      <c r="B21" s="4">
        <v>2</v>
      </c>
    </row>
    <row r="22" spans="1:2" s="3" customFormat="1" x14ac:dyDescent="0.2">
      <c r="A22" s="3">
        <v>0.8</v>
      </c>
      <c r="B22" s="4">
        <v>3</v>
      </c>
    </row>
    <row r="23" spans="1:2" x14ac:dyDescent="0.2">
      <c r="A23" t="s">
        <v>15</v>
      </c>
      <c r="B23">
        <v>4</v>
      </c>
    </row>
    <row r="24" spans="1:2" s="8" customFormat="1" x14ac:dyDescent="0.2">
      <c r="A24" s="8" t="s">
        <v>18</v>
      </c>
    </row>
    <row r="25" spans="1:2" x14ac:dyDescent="0.2">
      <c r="A25" t="s">
        <v>17</v>
      </c>
      <c r="B25" s="4">
        <v>0</v>
      </c>
    </row>
    <row r="26" spans="1:2" x14ac:dyDescent="0.2">
      <c r="A26" t="s">
        <v>19</v>
      </c>
      <c r="B26" s="4">
        <v>1</v>
      </c>
    </row>
    <row r="27" spans="1:2" x14ac:dyDescent="0.2">
      <c r="A27" t="s">
        <v>20</v>
      </c>
      <c r="B27" s="4">
        <v>2</v>
      </c>
    </row>
    <row r="28" spans="1:2" x14ac:dyDescent="0.2">
      <c r="A28" t="s">
        <v>21</v>
      </c>
      <c r="B28" s="4">
        <v>3</v>
      </c>
    </row>
    <row r="29" spans="1:2" s="9" customFormat="1" x14ac:dyDescent="0.2">
      <c r="A29" s="8" t="s">
        <v>22</v>
      </c>
    </row>
    <row r="30" spans="1:2" x14ac:dyDescent="0.2">
      <c r="A30" t="s">
        <v>5</v>
      </c>
      <c r="B30" s="4">
        <v>0</v>
      </c>
    </row>
    <row r="31" spans="1:2" x14ac:dyDescent="0.2">
      <c r="A31" t="s">
        <v>23</v>
      </c>
      <c r="B31" s="4">
        <v>2</v>
      </c>
    </row>
    <row r="32" spans="1:2" x14ac:dyDescent="0.2">
      <c r="A32" t="s">
        <v>24</v>
      </c>
      <c r="B32" s="4">
        <v>3</v>
      </c>
    </row>
    <row r="33" spans="1:2" s="9" customFormat="1" x14ac:dyDescent="0.2">
      <c r="A33" s="8" t="s">
        <v>25</v>
      </c>
    </row>
    <row r="34" spans="1:2" x14ac:dyDescent="0.2">
      <c r="A34" t="s">
        <v>5</v>
      </c>
      <c r="B34" s="4">
        <v>0</v>
      </c>
    </row>
    <row r="35" spans="1:2" x14ac:dyDescent="0.2">
      <c r="A35" t="s">
        <v>26</v>
      </c>
      <c r="B35" s="4">
        <v>2</v>
      </c>
    </row>
    <row r="36" spans="1:2" s="10" customFormat="1" x14ac:dyDescent="0.2">
      <c r="A36" s="10" t="s">
        <v>12</v>
      </c>
      <c r="B36" s="10">
        <v>0</v>
      </c>
    </row>
    <row r="37" spans="1:2" s="10" customFormat="1" x14ac:dyDescent="0.2">
      <c r="A37" s="10" t="s">
        <v>13</v>
      </c>
      <c r="B37" s="10">
        <v>12</v>
      </c>
    </row>
    <row r="39" spans="1:2" s="5" customFormat="1" x14ac:dyDescent="0.2">
      <c r="A39" s="5" t="s">
        <v>29</v>
      </c>
    </row>
    <row r="40" spans="1:2" s="8" customFormat="1" x14ac:dyDescent="0.2">
      <c r="A40" s="8" t="s">
        <v>30</v>
      </c>
    </row>
    <row r="41" spans="1:2" x14ac:dyDescent="0.2">
      <c r="A41" t="s">
        <v>32</v>
      </c>
      <c r="B41">
        <v>1</v>
      </c>
    </row>
    <row r="42" spans="1:2" x14ac:dyDescent="0.2">
      <c r="A42" t="s">
        <v>33</v>
      </c>
      <c r="B42">
        <v>2</v>
      </c>
    </row>
    <row r="43" spans="1:2" x14ac:dyDescent="0.2">
      <c r="A43" t="s">
        <v>34</v>
      </c>
      <c r="B43">
        <v>3</v>
      </c>
    </row>
    <row r="44" spans="1:2" x14ac:dyDescent="0.2">
      <c r="A44" t="s">
        <v>57</v>
      </c>
      <c r="B44">
        <v>3</v>
      </c>
    </row>
    <row r="45" spans="1:2" x14ac:dyDescent="0.2">
      <c r="A45" t="s">
        <v>58</v>
      </c>
      <c r="B45" t="s">
        <v>59</v>
      </c>
    </row>
    <row r="46" spans="1:2" s="8" customFormat="1" x14ac:dyDescent="0.2">
      <c r="A46" s="8" t="s">
        <v>31</v>
      </c>
    </row>
    <row r="47" spans="1:2" x14ac:dyDescent="0.2">
      <c r="A47" t="s">
        <v>39</v>
      </c>
      <c r="B47">
        <v>0</v>
      </c>
    </row>
    <row r="48" spans="1:2" x14ac:dyDescent="0.2">
      <c r="A48" t="s">
        <v>37</v>
      </c>
      <c r="B48">
        <v>1</v>
      </c>
    </row>
    <row r="49" spans="1:2" x14ac:dyDescent="0.2">
      <c r="A49" t="s">
        <v>38</v>
      </c>
      <c r="B49">
        <v>3</v>
      </c>
    </row>
    <row r="50" spans="1:2" s="8" customFormat="1" x14ac:dyDescent="0.2">
      <c r="A50" s="8" t="s">
        <v>75</v>
      </c>
    </row>
    <row r="51" spans="1:2" x14ac:dyDescent="0.2">
      <c r="A51" t="s">
        <v>35</v>
      </c>
      <c r="B51">
        <v>0</v>
      </c>
    </row>
    <row r="52" spans="1:2" x14ac:dyDescent="0.2">
      <c r="A52" t="s">
        <v>36</v>
      </c>
      <c r="B52">
        <v>2</v>
      </c>
    </row>
    <row r="53" spans="1:2" s="10" customFormat="1" x14ac:dyDescent="0.2">
      <c r="A53" s="10" t="s">
        <v>12</v>
      </c>
      <c r="B53" s="10">
        <v>1</v>
      </c>
    </row>
    <row r="54" spans="1:2" s="10" customFormat="1" x14ac:dyDescent="0.2">
      <c r="A54" s="10" t="s">
        <v>13</v>
      </c>
      <c r="B54" s="10">
        <v>8</v>
      </c>
    </row>
    <row r="56" spans="1:2" s="6" customFormat="1" ht="19" x14ac:dyDescent="0.25">
      <c r="A56" s="11" t="s">
        <v>41</v>
      </c>
    </row>
    <row r="57" spans="1:2" s="9" customFormat="1" ht="19" x14ac:dyDescent="0.25">
      <c r="A57" s="12" t="s">
        <v>47</v>
      </c>
    </row>
    <row r="58" spans="1:2" x14ac:dyDescent="0.2">
      <c r="A58" t="s">
        <v>42</v>
      </c>
      <c r="B58">
        <f>D58 -2</f>
        <v>-2</v>
      </c>
    </row>
    <row r="59" spans="1:2" x14ac:dyDescent="0.2">
      <c r="A59" t="s">
        <v>40</v>
      </c>
      <c r="B59">
        <v>2</v>
      </c>
    </row>
    <row r="61" spans="1:2" x14ac:dyDescent="0.2">
      <c r="A61" t="s">
        <v>43</v>
      </c>
      <c r="B61">
        <v>2</v>
      </c>
    </row>
    <row r="62" spans="1:2" x14ac:dyDescent="0.2">
      <c r="A62" t="s">
        <v>44</v>
      </c>
      <c r="B62">
        <v>1</v>
      </c>
    </row>
    <row r="63" spans="1:2" x14ac:dyDescent="0.2">
      <c r="A63" t="s">
        <v>45</v>
      </c>
      <c r="B63">
        <v>1</v>
      </c>
    </row>
    <row r="64" spans="1:2" x14ac:dyDescent="0.2">
      <c r="A64" t="s">
        <v>46</v>
      </c>
      <c r="B64">
        <v>2</v>
      </c>
    </row>
    <row r="65" spans="1:2" s="10" customFormat="1" x14ac:dyDescent="0.2">
      <c r="A65" s="10" t="s">
        <v>12</v>
      </c>
      <c r="B65" s="10">
        <v>-2</v>
      </c>
    </row>
    <row r="66" spans="1:2" s="10" customFormat="1" x14ac:dyDescent="0.2">
      <c r="A66" s="10" t="s">
        <v>13</v>
      </c>
      <c r="B66" s="10">
        <v>8</v>
      </c>
    </row>
    <row r="68" spans="1:2" s="6" customFormat="1" x14ac:dyDescent="0.2">
      <c r="A68" s="5" t="s">
        <v>48</v>
      </c>
    </row>
    <row r="69" spans="1:2" x14ac:dyDescent="0.2">
      <c r="A69" t="s">
        <v>49</v>
      </c>
      <c r="B69">
        <v>2</v>
      </c>
    </row>
    <row r="70" spans="1:2" x14ac:dyDescent="0.2">
      <c r="A70" t="s">
        <v>50</v>
      </c>
      <c r="B70">
        <v>1</v>
      </c>
    </row>
    <row r="71" spans="1:2" x14ac:dyDescent="0.2">
      <c r="A71" t="s">
        <v>51</v>
      </c>
      <c r="B71">
        <v>1</v>
      </c>
    </row>
    <row r="72" spans="1:2" x14ac:dyDescent="0.2">
      <c r="A72" t="s">
        <v>52</v>
      </c>
      <c r="B72">
        <v>1</v>
      </c>
    </row>
    <row r="73" spans="1:2" x14ac:dyDescent="0.2">
      <c r="A73" t="s">
        <v>53</v>
      </c>
      <c r="B73">
        <v>1</v>
      </c>
    </row>
    <row r="74" spans="1:2" s="10" customFormat="1" x14ac:dyDescent="0.2">
      <c r="A74" s="10" t="s">
        <v>12</v>
      </c>
      <c r="B74" s="10">
        <v>1</v>
      </c>
    </row>
    <row r="75" spans="1:2" s="10" customFormat="1" x14ac:dyDescent="0.2">
      <c r="A75" s="10" t="s">
        <v>13</v>
      </c>
      <c r="B75" s="10">
        <v>6</v>
      </c>
    </row>
    <row r="77" spans="1:2" s="6" customFormat="1" x14ac:dyDescent="0.2">
      <c r="A77" s="5" t="s">
        <v>54</v>
      </c>
    </row>
    <row r="78" spans="1:2" ht="34" x14ac:dyDescent="0.2">
      <c r="A78" s="2" t="s">
        <v>55</v>
      </c>
      <c r="B78">
        <v>3</v>
      </c>
    </row>
    <row r="79" spans="1:2" x14ac:dyDescent="0.2">
      <c r="A79" t="s">
        <v>56</v>
      </c>
      <c r="B79">
        <v>2</v>
      </c>
    </row>
    <row r="80" spans="1:2" s="10" customFormat="1" x14ac:dyDescent="0.2">
      <c r="A80" s="10" t="s">
        <v>12</v>
      </c>
      <c r="B80" s="10">
        <v>2</v>
      </c>
    </row>
    <row r="81" spans="1:8" s="10" customFormat="1" x14ac:dyDescent="0.2">
      <c r="A81" s="10" t="s">
        <v>13</v>
      </c>
      <c r="B81" s="10">
        <v>5</v>
      </c>
    </row>
    <row r="83" spans="1:8" x14ac:dyDescent="0.2">
      <c r="A83" t="s">
        <v>83</v>
      </c>
    </row>
    <row r="86" spans="1:8" x14ac:dyDescent="0.2">
      <c r="A86" s="1" t="s">
        <v>63</v>
      </c>
      <c r="B86" s="1" t="s">
        <v>64</v>
      </c>
      <c r="C86" s="1" t="s">
        <v>65</v>
      </c>
      <c r="D86" s="1"/>
      <c r="H86" s="1" t="s">
        <v>84</v>
      </c>
    </row>
    <row r="87" spans="1:8" x14ac:dyDescent="0.2">
      <c r="A87" s="1" t="s">
        <v>66</v>
      </c>
      <c r="B87" s="1" t="s">
        <v>60</v>
      </c>
      <c r="C87" s="1" t="s">
        <v>67</v>
      </c>
      <c r="F87" s="1" t="s">
        <v>76</v>
      </c>
      <c r="H87" t="s">
        <v>78</v>
      </c>
    </row>
    <row r="88" spans="1:8" x14ac:dyDescent="0.2">
      <c r="A88" s="1" t="s">
        <v>68</v>
      </c>
      <c r="B88" s="1" t="s">
        <v>61</v>
      </c>
      <c r="C88" s="1" t="s">
        <v>69</v>
      </c>
      <c r="F88" s="1" t="s">
        <v>77</v>
      </c>
      <c r="H88" t="s">
        <v>81</v>
      </c>
    </row>
    <row r="89" spans="1:8" x14ac:dyDescent="0.2">
      <c r="A89" s="1" t="s">
        <v>70</v>
      </c>
      <c r="B89" s="1" t="s">
        <v>62</v>
      </c>
      <c r="C89" s="1" t="s">
        <v>71</v>
      </c>
      <c r="F89" s="1" t="s">
        <v>82</v>
      </c>
      <c r="H89" t="s">
        <v>79</v>
      </c>
    </row>
    <row r="90" spans="1:8" x14ac:dyDescent="0.2">
      <c r="A90" s="1" t="s">
        <v>72</v>
      </c>
      <c r="B90" s="1" t="s">
        <v>73</v>
      </c>
      <c r="C90" s="1" t="s">
        <v>74</v>
      </c>
      <c r="H90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0CDB-7558-FD4E-9941-0480A7590E6C}">
  <dimension ref="A1:H95"/>
  <sheetViews>
    <sheetView tabSelected="1" topLeftCell="A62" zoomScale="103" zoomScaleNormal="85" workbookViewId="0">
      <selection activeCell="E92" sqref="E92"/>
    </sheetView>
  </sheetViews>
  <sheetFormatPr baseColWidth="10" defaultColWidth="10.6640625" defaultRowHeight="16" x14ac:dyDescent="0.2"/>
  <cols>
    <col min="1" max="1" width="21.83203125" customWidth="1"/>
  </cols>
  <sheetData>
    <row r="1" spans="1:2" s="1" customFormat="1" ht="15" customHeight="1" x14ac:dyDescent="0.2">
      <c r="A1" s="1" t="s">
        <v>0</v>
      </c>
    </row>
    <row r="3" spans="1:2" s="6" customFormat="1" x14ac:dyDescent="0.2">
      <c r="A3" s="5" t="s">
        <v>27</v>
      </c>
      <c r="B3" s="5" t="s">
        <v>1</v>
      </c>
    </row>
    <row r="4" spans="1:2" s="9" customFormat="1" ht="17" x14ac:dyDescent="0.2">
      <c r="A4" s="7" t="s">
        <v>9</v>
      </c>
    </row>
    <row r="5" spans="1:2" x14ac:dyDescent="0.2">
      <c r="A5" t="s">
        <v>2</v>
      </c>
      <c r="B5">
        <v>1</v>
      </c>
    </row>
    <row r="6" spans="1:2" x14ac:dyDescent="0.2">
      <c r="A6" t="s">
        <v>3</v>
      </c>
      <c r="B6">
        <v>2</v>
      </c>
    </row>
    <row r="7" spans="1:2" x14ac:dyDescent="0.2">
      <c r="A7" t="s">
        <v>4</v>
      </c>
      <c r="B7">
        <v>3</v>
      </c>
    </row>
    <row r="8" spans="1:2" s="9" customFormat="1" x14ac:dyDescent="0.2">
      <c r="A8" s="8" t="s">
        <v>10</v>
      </c>
    </row>
    <row r="9" spans="1:2" x14ac:dyDescent="0.2">
      <c r="A9" t="s">
        <v>5</v>
      </c>
      <c r="B9">
        <v>0</v>
      </c>
    </row>
    <row r="10" spans="1:2" x14ac:dyDescent="0.2">
      <c r="A10" t="s">
        <v>6</v>
      </c>
      <c r="B10">
        <v>1</v>
      </c>
    </row>
    <row r="11" spans="1:2" s="10" customFormat="1" x14ac:dyDescent="0.2">
      <c r="A11" s="10" t="s">
        <v>12</v>
      </c>
      <c r="B11" s="10">
        <v>0</v>
      </c>
    </row>
    <row r="12" spans="1:2" s="10" customFormat="1" x14ac:dyDescent="0.2">
      <c r="A12" s="10" t="s">
        <v>13</v>
      </c>
      <c r="B12" s="10">
        <v>4</v>
      </c>
    </row>
    <row r="13" spans="1:2" s="1" customFormat="1" x14ac:dyDescent="0.2"/>
    <row r="14" spans="1:2" s="13" customFormat="1" x14ac:dyDescent="0.2">
      <c r="A14" s="13" t="s">
        <v>96</v>
      </c>
    </row>
    <row r="15" spans="1:2" s="8" customFormat="1" x14ac:dyDescent="0.2">
      <c r="A15" s="8" t="s">
        <v>109</v>
      </c>
    </row>
    <row r="16" spans="1:2" s="1" customFormat="1" x14ac:dyDescent="0.2">
      <c r="A16" t="s">
        <v>97</v>
      </c>
      <c r="B16">
        <v>0</v>
      </c>
    </row>
    <row r="17" spans="1:2" s="1" customFormat="1" x14ac:dyDescent="0.2">
      <c r="A17" t="s">
        <v>98</v>
      </c>
      <c r="B17">
        <v>1</v>
      </c>
    </row>
    <row r="18" spans="1:2" s="1" customFormat="1" x14ac:dyDescent="0.2">
      <c r="A18" t="s">
        <v>99</v>
      </c>
      <c r="B18">
        <v>2</v>
      </c>
    </row>
    <row r="19" spans="1:2" s="1" customFormat="1" x14ac:dyDescent="0.2">
      <c r="A19" t="s">
        <v>100</v>
      </c>
      <c r="B19">
        <v>3</v>
      </c>
    </row>
    <row r="20" spans="1:2" x14ac:dyDescent="0.2">
      <c r="A20" t="s">
        <v>101</v>
      </c>
      <c r="B20">
        <v>4</v>
      </c>
    </row>
    <row r="22" spans="1:2" s="9" customFormat="1" x14ac:dyDescent="0.2">
      <c r="A22" s="8" t="s">
        <v>110</v>
      </c>
    </row>
    <row r="23" spans="1:2" x14ac:dyDescent="0.2">
      <c r="A23" t="s">
        <v>102</v>
      </c>
      <c r="B23" t="s">
        <v>105</v>
      </c>
    </row>
    <row r="24" spans="1:2" x14ac:dyDescent="0.2">
      <c r="A24" t="s">
        <v>104</v>
      </c>
      <c r="B24" t="s">
        <v>106</v>
      </c>
    </row>
    <row r="25" spans="1:2" x14ac:dyDescent="0.2">
      <c r="A25" t="s">
        <v>103</v>
      </c>
      <c r="B25" t="s">
        <v>107</v>
      </c>
    </row>
    <row r="26" spans="1:2" s="14" customFormat="1" x14ac:dyDescent="0.2">
      <c r="A26" s="10" t="s">
        <v>12</v>
      </c>
      <c r="B26" s="10">
        <v>0</v>
      </c>
    </row>
    <row r="27" spans="1:2" s="14" customFormat="1" x14ac:dyDescent="0.2">
      <c r="A27" s="10" t="s">
        <v>13</v>
      </c>
      <c r="B27" s="10">
        <v>4</v>
      </c>
    </row>
    <row r="29" spans="1:2" s="6" customFormat="1" x14ac:dyDescent="0.2">
      <c r="A29" s="5" t="s">
        <v>114</v>
      </c>
    </row>
    <row r="30" spans="1:2" s="9" customFormat="1" x14ac:dyDescent="0.2">
      <c r="A30" s="8" t="s">
        <v>14</v>
      </c>
    </row>
    <row r="31" spans="1:2" ht="17" x14ac:dyDescent="0.2">
      <c r="A31" s="2" t="s">
        <v>16</v>
      </c>
      <c r="B31">
        <v>0</v>
      </c>
    </row>
    <row r="32" spans="1:2" s="3" customFormat="1" x14ac:dyDescent="0.2">
      <c r="A32" s="3">
        <v>0.6</v>
      </c>
      <c r="B32" s="4">
        <v>1</v>
      </c>
    </row>
    <row r="33" spans="1:2" s="3" customFormat="1" x14ac:dyDescent="0.2">
      <c r="A33" s="3">
        <v>0.7</v>
      </c>
      <c r="B33" s="4">
        <v>2</v>
      </c>
    </row>
    <row r="34" spans="1:2" s="3" customFormat="1" x14ac:dyDescent="0.2">
      <c r="A34" s="3">
        <v>0.8</v>
      </c>
      <c r="B34" s="4">
        <v>3</v>
      </c>
    </row>
    <row r="35" spans="1:2" x14ac:dyDescent="0.2">
      <c r="A35" t="s">
        <v>15</v>
      </c>
      <c r="B35">
        <v>4</v>
      </c>
    </row>
    <row r="36" spans="1:2" s="9" customFormat="1" x14ac:dyDescent="0.2">
      <c r="A36" s="8" t="s">
        <v>22</v>
      </c>
    </row>
    <row r="37" spans="1:2" x14ac:dyDescent="0.2">
      <c r="A37" t="s">
        <v>5</v>
      </c>
      <c r="B37" s="4">
        <v>0</v>
      </c>
    </row>
    <row r="38" spans="1:2" x14ac:dyDescent="0.2">
      <c r="A38" t="s">
        <v>86</v>
      </c>
      <c r="B38" s="4">
        <v>2</v>
      </c>
    </row>
    <row r="39" spans="1:2" x14ac:dyDescent="0.2">
      <c r="A39" t="s">
        <v>85</v>
      </c>
      <c r="B39" s="4">
        <v>3</v>
      </c>
    </row>
    <row r="40" spans="1:2" s="9" customFormat="1" x14ac:dyDescent="0.2">
      <c r="A40" s="8" t="s">
        <v>25</v>
      </c>
    </row>
    <row r="41" spans="1:2" x14ac:dyDescent="0.2">
      <c r="A41" t="s">
        <v>5</v>
      </c>
      <c r="B41" s="4">
        <v>0</v>
      </c>
    </row>
    <row r="42" spans="1:2" x14ac:dyDescent="0.2">
      <c r="A42" t="s">
        <v>26</v>
      </c>
      <c r="B42" s="4">
        <v>1</v>
      </c>
    </row>
    <row r="43" spans="1:2" s="10" customFormat="1" x14ac:dyDescent="0.2">
      <c r="A43" s="10" t="s">
        <v>12</v>
      </c>
      <c r="B43" s="10">
        <v>0</v>
      </c>
    </row>
    <row r="44" spans="1:2" s="10" customFormat="1" x14ac:dyDescent="0.2">
      <c r="A44" s="10" t="s">
        <v>13</v>
      </c>
      <c r="B44" s="10">
        <v>8</v>
      </c>
    </row>
    <row r="46" spans="1:2" s="5" customFormat="1" x14ac:dyDescent="0.2">
      <c r="A46" s="5" t="s">
        <v>115</v>
      </c>
    </row>
    <row r="47" spans="1:2" s="8" customFormat="1" x14ac:dyDescent="0.2">
      <c r="A47" s="8" t="s">
        <v>30</v>
      </c>
    </row>
    <row r="48" spans="1:2" x14ac:dyDescent="0.2">
      <c r="A48" t="s">
        <v>92</v>
      </c>
      <c r="B48">
        <v>0</v>
      </c>
    </row>
    <row r="49" spans="1:2" x14ac:dyDescent="0.2">
      <c r="A49" t="s">
        <v>32</v>
      </c>
      <c r="B49">
        <v>1</v>
      </c>
    </row>
    <row r="50" spans="1:2" x14ac:dyDescent="0.2">
      <c r="A50" t="s">
        <v>33</v>
      </c>
      <c r="B50">
        <v>2</v>
      </c>
    </row>
    <row r="51" spans="1:2" x14ac:dyDescent="0.2">
      <c r="A51" t="s">
        <v>34</v>
      </c>
      <c r="B51">
        <v>3</v>
      </c>
    </row>
    <row r="52" spans="1:2" x14ac:dyDescent="0.2">
      <c r="A52" t="s">
        <v>57</v>
      </c>
      <c r="B52">
        <v>3</v>
      </c>
    </row>
    <row r="53" spans="1:2" x14ac:dyDescent="0.2">
      <c r="A53" t="s">
        <v>58</v>
      </c>
      <c r="B53">
        <v>2</v>
      </c>
    </row>
    <row r="54" spans="1:2" s="8" customFormat="1" x14ac:dyDescent="0.2">
      <c r="A54" s="8" t="s">
        <v>75</v>
      </c>
    </row>
    <row r="55" spans="1:2" x14ac:dyDescent="0.2">
      <c r="A55" t="s">
        <v>35</v>
      </c>
      <c r="B55">
        <v>0</v>
      </c>
    </row>
    <row r="56" spans="1:2" x14ac:dyDescent="0.2">
      <c r="A56" t="s">
        <v>36</v>
      </c>
      <c r="B56">
        <v>2</v>
      </c>
    </row>
    <row r="57" spans="1:2" s="10" customFormat="1" x14ac:dyDescent="0.2">
      <c r="A57" s="10" t="s">
        <v>12</v>
      </c>
      <c r="B57" s="10">
        <v>0</v>
      </c>
    </row>
    <row r="58" spans="1:2" s="10" customFormat="1" x14ac:dyDescent="0.2">
      <c r="A58" s="10" t="s">
        <v>13</v>
      </c>
      <c r="B58" s="10">
        <v>5</v>
      </c>
    </row>
    <row r="60" spans="1:2" s="6" customFormat="1" ht="19" x14ac:dyDescent="0.25">
      <c r="A60" s="11" t="s">
        <v>41</v>
      </c>
    </row>
    <row r="61" spans="1:2" hidden="1" x14ac:dyDescent="0.2"/>
    <row r="62" spans="1:2" x14ac:dyDescent="0.2">
      <c r="A62" t="s">
        <v>111</v>
      </c>
      <c r="B62">
        <v>0</v>
      </c>
    </row>
    <row r="63" spans="1:2" x14ac:dyDescent="0.2">
      <c r="A63" t="s">
        <v>40</v>
      </c>
      <c r="B63">
        <v>1</v>
      </c>
    </row>
    <row r="64" spans="1:2" x14ac:dyDescent="0.2">
      <c r="A64" t="s">
        <v>94</v>
      </c>
      <c r="B64">
        <v>1</v>
      </c>
    </row>
    <row r="65" spans="1:2" x14ac:dyDescent="0.2">
      <c r="A65" t="s">
        <v>43</v>
      </c>
      <c r="B65">
        <v>1</v>
      </c>
    </row>
    <row r="66" spans="1:2" x14ac:dyDescent="0.2">
      <c r="A66" t="s">
        <v>44</v>
      </c>
      <c r="B66">
        <v>1</v>
      </c>
    </row>
    <row r="67" spans="1:2" x14ac:dyDescent="0.2">
      <c r="A67" t="s">
        <v>45</v>
      </c>
      <c r="B67">
        <v>1</v>
      </c>
    </row>
    <row r="68" spans="1:2" s="10" customFormat="1" x14ac:dyDescent="0.2">
      <c r="A68" s="10" t="s">
        <v>12</v>
      </c>
      <c r="B68" s="10">
        <v>0</v>
      </c>
    </row>
    <row r="69" spans="1:2" s="10" customFormat="1" x14ac:dyDescent="0.2">
      <c r="A69" s="10" t="s">
        <v>13</v>
      </c>
      <c r="B69" s="10">
        <v>5</v>
      </c>
    </row>
    <row r="71" spans="1:2" s="6" customFormat="1" x14ac:dyDescent="0.2">
      <c r="A71" s="5" t="s">
        <v>113</v>
      </c>
    </row>
    <row r="72" spans="1:2" x14ac:dyDescent="0.2">
      <c r="A72" t="s">
        <v>87</v>
      </c>
      <c r="B72">
        <v>0</v>
      </c>
    </row>
    <row r="73" spans="1:2" x14ac:dyDescent="0.2">
      <c r="A73" t="s">
        <v>112</v>
      </c>
      <c r="B73">
        <v>1</v>
      </c>
    </row>
    <row r="74" spans="1:2" x14ac:dyDescent="0.2">
      <c r="A74" t="s">
        <v>50</v>
      </c>
      <c r="B74">
        <v>1</v>
      </c>
    </row>
    <row r="75" spans="1:2" x14ac:dyDescent="0.2">
      <c r="A75" t="s">
        <v>51</v>
      </c>
      <c r="B75">
        <v>1</v>
      </c>
    </row>
    <row r="76" spans="1:2" x14ac:dyDescent="0.2">
      <c r="A76" t="s">
        <v>52</v>
      </c>
      <c r="B76">
        <v>1</v>
      </c>
    </row>
    <row r="77" spans="1:2" x14ac:dyDescent="0.2">
      <c r="A77" t="s">
        <v>53</v>
      </c>
      <c r="B77">
        <v>1</v>
      </c>
    </row>
    <row r="78" spans="1:2" s="10" customFormat="1" x14ac:dyDescent="0.2">
      <c r="A78" s="10" t="s">
        <v>12</v>
      </c>
      <c r="B78" s="10">
        <v>0</v>
      </c>
    </row>
    <row r="79" spans="1:2" s="10" customFormat="1" x14ac:dyDescent="0.2">
      <c r="A79" s="10" t="s">
        <v>13</v>
      </c>
      <c r="B79" s="10">
        <v>5</v>
      </c>
    </row>
    <row r="81" spans="1:8" s="6" customFormat="1" x14ac:dyDescent="0.2">
      <c r="A81" s="5" t="s">
        <v>54</v>
      </c>
    </row>
    <row r="82" spans="1:8" x14ac:dyDescent="0.2">
      <c r="A82" t="s">
        <v>87</v>
      </c>
      <c r="B82">
        <v>0</v>
      </c>
    </row>
    <row r="83" spans="1:8" ht="51" x14ac:dyDescent="0.2">
      <c r="A83" s="2" t="s">
        <v>55</v>
      </c>
      <c r="B83">
        <v>1</v>
      </c>
    </row>
    <row r="84" spans="1:8" ht="34" x14ac:dyDescent="0.2">
      <c r="A84" s="2" t="s">
        <v>91</v>
      </c>
      <c r="B84">
        <v>1</v>
      </c>
    </row>
    <row r="85" spans="1:8" s="10" customFormat="1" x14ac:dyDescent="0.2">
      <c r="A85" s="10" t="s">
        <v>12</v>
      </c>
      <c r="B85" s="10">
        <v>0</v>
      </c>
    </row>
    <row r="86" spans="1:8" s="10" customFormat="1" x14ac:dyDescent="0.2">
      <c r="A86" s="10" t="s">
        <v>13</v>
      </c>
      <c r="B86" s="10">
        <v>2</v>
      </c>
    </row>
    <row r="88" spans="1:8" x14ac:dyDescent="0.2">
      <c r="A88" t="s">
        <v>95</v>
      </c>
    </row>
    <row r="89" spans="1:8" x14ac:dyDescent="0.2">
      <c r="A89" t="s">
        <v>108</v>
      </c>
    </row>
    <row r="91" spans="1:8" x14ac:dyDescent="0.2">
      <c r="A91" s="1" t="s">
        <v>63</v>
      </c>
      <c r="B91" s="1" t="s">
        <v>64</v>
      </c>
      <c r="C91" s="1" t="s">
        <v>65</v>
      </c>
      <c r="D91" s="1"/>
      <c r="H91" s="1"/>
    </row>
    <row r="92" spans="1:8" x14ac:dyDescent="0.2">
      <c r="A92" s="1" t="s">
        <v>88</v>
      </c>
      <c r="B92" s="1" t="s">
        <v>60</v>
      </c>
      <c r="C92" s="1" t="s">
        <v>67</v>
      </c>
      <c r="F92" s="1" t="s">
        <v>76</v>
      </c>
    </row>
    <row r="93" spans="1:8" x14ac:dyDescent="0.2">
      <c r="A93" s="1" t="s">
        <v>89</v>
      </c>
      <c r="B93" s="1" t="s">
        <v>61</v>
      </c>
      <c r="C93" s="1" t="s">
        <v>69</v>
      </c>
      <c r="F93" s="1" t="s">
        <v>77</v>
      </c>
    </row>
    <row r="94" spans="1:8" x14ac:dyDescent="0.2">
      <c r="A94" s="1" t="s">
        <v>90</v>
      </c>
      <c r="B94" s="1" t="s">
        <v>62</v>
      </c>
      <c r="C94" s="1" t="s">
        <v>71</v>
      </c>
      <c r="F94" s="1" t="s">
        <v>82</v>
      </c>
    </row>
    <row r="95" spans="1:8" x14ac:dyDescent="0.2">
      <c r="A95" s="1" t="s">
        <v>93</v>
      </c>
      <c r="B95" s="1" t="s">
        <v>73</v>
      </c>
      <c r="C95" s="1" t="s">
        <v>74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6BEC-F8C3-464C-9E8D-9E419739D98A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Varuna Abinethri</dc:creator>
  <cp:lastModifiedBy>Varuna Abinethri</cp:lastModifiedBy>
  <dcterms:created xsi:type="dcterms:W3CDTF">2025-12-18T19:22:16Z</dcterms:created>
  <dcterms:modified xsi:type="dcterms:W3CDTF">2026-01-01T17:54:06Z</dcterms:modified>
</cp:coreProperties>
</file>